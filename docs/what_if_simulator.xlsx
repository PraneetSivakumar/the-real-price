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£0.00"/>
    <numFmt numFmtId="165" formatCode="£#,##0.00"/>
    <numFmt numFmtId="166" formatCode="£#,##0"/>
    <numFmt numFmtId="167" formatCode="d mmm yyyy"/>
  </numFmts>
  <fonts count="6">
    <font>
      <name val="Calibri"/>
      <family val="2"/>
      <color theme="1"/>
      <sz val="11"/>
      <scheme val="minor"/>
    </font>
    <font>
      <b val="1"/>
      <sz val="15"/>
    </font>
    <font>
      <b val="1"/>
      <sz val="13"/>
    </font>
    <font/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2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2" borderId="0" pivotButton="0" quotePrefix="0" xfId="0"/>
    <xf numFmtId="0" fontId="0" fillId="0" borderId="0" applyAlignment="1" pivotButton="0" quotePrefix="0" xfId="0">
      <alignment wrapText="1"/>
    </xf>
    <xf numFmtId="1" fontId="0" fillId="2" borderId="0" pivotButton="0" quotePrefix="0" xfId="0"/>
    <xf numFmtId="0" fontId="0" fillId="2" borderId="0" pivotButton="0" quotePrefix="0" xfId="0"/>
    <xf numFmtId="9" fontId="0" fillId="2" borderId="0" pivotButton="0" quotePrefix="0" xfId="0"/>
    <xf numFmtId="165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6" fontId="4" fillId="0" borderId="0" pivotButton="0" quotePrefix="0" xfId="0"/>
    <xf numFmtId="1" fontId="4" fillId="0" borderId="0" pivotButton="0" quotePrefix="0" xfId="0"/>
    <xf numFmtId="167" fontId="0" fillId="0" borderId="0" pivotButton="0" quotePrefix="0" xfId="0"/>
    <xf numFmtId="167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60" customWidth="1" min="3" max="3"/>
  </cols>
  <sheetData>
    <row r="1">
      <c r="A1" s="1" t="inlineStr">
        <is>
          <t>The Real Price — what-if savings simulator (SIMULATED data)</t>
        </is>
      </c>
    </row>
    <row r="2">
      <c r="A2" t="inlineStr">
        <is>
          <t>Change the yellow cells. Everything else recalculates.</t>
        </is>
      </c>
    </row>
    <row r="4">
      <c r="A4" s="2" t="inlineStr">
        <is>
          <t>1. Your settings</t>
        </is>
      </c>
    </row>
    <row r="5">
      <c r="A5" s="3" t="inlineStr">
        <is>
          <t>Hourly wage (£)</t>
        </is>
      </c>
      <c r="B5" s="4" t="n">
        <v>12.71</v>
      </c>
      <c r="C5" s="5" t="inlineStr">
        <is>
          <t>UK National Living Wage from April 2026</t>
        </is>
      </c>
    </row>
    <row r="6">
      <c r="A6" s="3" t="inlineStr">
        <is>
          <t>Days from 25 Oct to 31 Dec</t>
        </is>
      </c>
      <c r="B6" s="6" t="n">
        <v>67</v>
      </c>
      <c r="C6" s="5" t="inlineStr"/>
    </row>
    <row r="7">
      <c r="A7" s="3" t="inlineStr">
        <is>
          <t>Cancel Disney+ and Google One? (Y/N)</t>
        </is>
      </c>
      <c r="B7" s="7" t="inlineStr">
        <is>
          <t>Y</t>
        </is>
      </c>
      <c r="C7" s="5" t="inlineStr">
        <is>
          <t>Zombie / duplicate subscriptions</t>
        </is>
      </c>
    </row>
    <row r="8">
      <c r="A8" s="3" t="inlineStr">
        <is>
          <t>Share of late shift-day takeaways replaced by meal prep</t>
        </is>
      </c>
      <c r="B8" s="8" t="n">
        <v>0.75</v>
      </c>
      <c r="C8" s="5" t="inlineStr"/>
    </row>
    <row r="9">
      <c r="A9" s="3" t="inlineStr">
        <is>
          <t>Cost of a prepared meal (£)</t>
        </is>
      </c>
      <c r="B9" s="4" t="n">
        <v>3</v>
      </c>
      <c r="C9" s="5" t="inlineStr"/>
    </row>
    <row r="10">
      <c r="A10" s="3" t="inlineStr">
        <is>
          <t>Share of top-up trips moved into the weekly shop</t>
        </is>
      </c>
      <c r="B10" s="8" t="n">
        <v>0.5</v>
      </c>
      <c r="C10" s="5" t="inlineStr"/>
    </row>
    <row r="11">
      <c r="A11" s="3" t="inlineStr">
        <is>
          <t>How much cheaper the weekly shop is than a top-up</t>
        </is>
      </c>
      <c r="B11" s="8" t="n">
        <v>0.25</v>
      </c>
      <c r="C11" s="5" t="inlineStr">
        <is>
          <t>Assumption — UK Basket Index will measure it</t>
        </is>
      </c>
    </row>
    <row r="12">
      <c r="A12" s="3" t="inlineStr">
        <is>
          <t>Share of late-night online shopping avoided (24-hour rule)</t>
        </is>
      </c>
      <c r="B12" s="8" t="n">
        <v>0.5</v>
      </c>
      <c r="C12" s="5" t="inlineStr"/>
    </row>
    <row r="13">
      <c r="A13" s="3" t="inlineStr">
        <is>
          <t>Buy protein in bulk only? (Y/N)</t>
        </is>
      </c>
      <c r="B13" s="7" t="inlineStr">
        <is>
          <t>Y</t>
        </is>
      </c>
      <c r="C13" s="5" t="inlineStr"/>
    </row>
    <row r="15">
      <c r="A15" s="2" t="inlineStr">
        <is>
          <t>2. Baseline from the data (after the internship: 117 days)</t>
        </is>
      </c>
    </row>
    <row r="16">
      <c r="A16" s="3" t="inlineStr">
        <is>
          <t>Late takeaways on shift days — spend (£)</t>
        </is>
      </c>
      <c r="B16" s="9" t="n">
        <v>494.6</v>
      </c>
      <c r="C16" s="5" t="inlineStr">
        <is>
          <t>1 Jul – 25 Oct</t>
        </is>
      </c>
    </row>
    <row r="17">
      <c r="A17" s="3" t="inlineStr">
        <is>
          <t>Late takeaways on shift days — orders</t>
        </is>
      </c>
      <c r="B17" s="10" t="n">
        <v>22</v>
      </c>
      <c r="C17" s="5" t="inlineStr"/>
    </row>
    <row r="18">
      <c r="A18" s="3" t="inlineStr">
        <is>
          <t>Top-up shops — spend (£)</t>
        </is>
      </c>
      <c r="B18" s="9" t="n">
        <v>373.59</v>
      </c>
      <c r="C18" s="5" t="inlineStr"/>
    </row>
    <row r="19">
      <c r="A19" s="3" t="inlineStr">
        <is>
          <t>Late-night online clothing / shopping / games (£)</t>
        </is>
      </c>
      <c r="B19" s="9" t="n">
        <v>185.41</v>
      </c>
      <c r="C19" s="5" t="inlineStr">
        <is>
          <t>22:00–05:00</t>
        </is>
      </c>
    </row>
    <row r="20">
      <c r="A20" s="3" t="inlineStr">
        <is>
          <t>In-store protein tubs, whole period (£, 298 days)</t>
        </is>
      </c>
      <c r="B20" s="9" t="n">
        <v>159.93</v>
      </c>
      <c r="C20" s="5" t="inlineStr"/>
    </row>
    <row r="21">
      <c r="A21" s="3" t="inlineStr">
        <is>
          <t>Zombie subscriptions per month (£)</t>
        </is>
      </c>
      <c r="B21" s="11" t="n">
        <v>7.98</v>
      </c>
      <c r="C21" s="5" t="inlineStr">
        <is>
          <t>Disney+ £5.99 + Google One £1.99</t>
        </is>
      </c>
    </row>
    <row r="22">
      <c r="A22" s="3" t="inlineStr">
        <is>
          <t>Bulk protein cost vs in-store tub (per gram)</t>
        </is>
      </c>
      <c r="B22" s="12" t="n">
        <v>0.331</v>
      </c>
      <c r="C22" s="5" t="inlineStr">
        <is>
          <t>From the protein economics analysis</t>
        </is>
      </c>
    </row>
    <row r="23">
      <c r="A23" s="3" t="inlineStr">
        <is>
          <t>Current balance on 25 Oct (£)</t>
        </is>
      </c>
      <c r="B23" s="9" t="n">
        <v>2000.15</v>
      </c>
      <c r="C23" s="5" t="inlineStr"/>
    </row>
    <row r="24">
      <c r="A24" s="3" t="inlineStr">
        <is>
          <t>Net cash flow per day after the internship (£)</t>
        </is>
      </c>
      <c r="B24" s="11" t="n">
        <v>-14.13</v>
      </c>
      <c r="C24" s="5" t="inlineStr">
        <is>
          <t>Negative = savings going down</t>
        </is>
      </c>
    </row>
    <row r="26">
      <c r="A26" s="2" t="inlineStr">
        <is>
          <t>3. Savings per day (£)</t>
        </is>
      </c>
    </row>
    <row r="27">
      <c r="A27" s="3" t="inlineStr">
        <is>
          <t>Cancel zombie subscriptions</t>
        </is>
      </c>
      <c r="B27" s="11">
        <f>IF(B7="Y",B21*12/365,0)</f>
        <v/>
      </c>
      <c r="C27" s="5" t="inlineStr"/>
    </row>
    <row r="28">
      <c r="A28" s="3" t="inlineStr">
        <is>
          <t>Shift-day meal prep</t>
        </is>
      </c>
      <c r="B28" s="11">
        <f>B8*MAX(B16-B9*B17,0)/117</f>
        <v/>
      </c>
      <c r="C28" s="5" t="inlineStr"/>
    </row>
    <row r="29">
      <c r="A29" s="3" t="inlineStr">
        <is>
          <t>Move top-ups into the weekly shop</t>
        </is>
      </c>
      <c r="B29" s="11">
        <f>B10*B18*B11/117</f>
        <v/>
      </c>
      <c r="C29" s="5" t="inlineStr"/>
    </row>
    <row r="30">
      <c r="A30" s="3" t="inlineStr">
        <is>
          <t>Protein: bulk only</t>
        </is>
      </c>
      <c r="B30" s="11">
        <f>IF(B13="Y",B20*(1-B22)/298,0)</f>
        <v/>
      </c>
      <c r="C30" s="5" t="inlineStr"/>
    </row>
    <row r="31">
      <c r="A31" s="3" t="inlineStr">
        <is>
          <t>24-hour rule for late-night online shopping</t>
        </is>
      </c>
      <c r="B31" s="11">
        <f>B12*B19/117</f>
        <v/>
      </c>
      <c r="C31" s="5" t="inlineStr"/>
    </row>
    <row r="32">
      <c r="A32" s="13" t="inlineStr">
        <is>
          <t>Total saved per day</t>
        </is>
      </c>
      <c r="B32" s="14">
        <f>SUM(B27:B31)</f>
        <v/>
      </c>
      <c r="C32" s="5" t="inlineStr"/>
    </row>
    <row r="34">
      <c r="A34" s="2" t="inlineStr">
        <is>
          <t>4. Results</t>
        </is>
      </c>
    </row>
    <row r="35">
      <c r="A35" s="13" t="inlineStr">
        <is>
          <t>Saved by 31 Dec 2026 (£)</t>
        </is>
      </c>
      <c r="B35" s="15">
        <f>B32*B6</f>
        <v/>
      </c>
      <c r="C35" s="5" t="inlineStr"/>
    </row>
    <row r="36">
      <c r="A36" s="13" t="inlineStr">
        <is>
          <t>Saved per year (£)</t>
        </is>
      </c>
      <c r="B36" s="15">
        <f>B32*365</f>
        <v/>
      </c>
      <c r="C36" s="5" t="inlineStr"/>
    </row>
    <row r="37">
      <c r="A37" s="13" t="inlineStr">
        <is>
          <t>Hours of work saved per year</t>
        </is>
      </c>
      <c r="B37" s="16">
        <f>B36/B5</f>
        <v/>
      </c>
      <c r="C37" s="5" t="inlineStr"/>
    </row>
    <row r="38">
      <c r="A38" s="3" t="inlineStr">
        <is>
          <t>Savings run out (no change)</t>
        </is>
      </c>
      <c r="B38" s="17">
        <f>IF(B24&lt;0,DATE(2026,10,25)+B23/-B24,"Not running out")</f>
        <v/>
      </c>
      <c r="C38" s="5" t="inlineStr">
        <is>
          <t>Date the balance hits £0 at today's rate</t>
        </is>
      </c>
    </row>
    <row r="39">
      <c r="A39" s="13" t="inlineStr">
        <is>
          <t>Savings run out (with the plan)</t>
        </is>
      </c>
      <c r="B39" s="18">
        <f>IF(B24+B32&lt;0,DATE(2026,10,25)+B23/-(B24+B32),"Not running out")</f>
        <v/>
      </c>
      <c r="C39" s="5" t="inlineStr"/>
    </row>
    <row r="41">
      <c r="A41" s="19" t="inlineStr">
        <is>
          <t>Note: the plan slows the fall; only new income (the job search) stops it.</t>
        </is>
      </c>
    </row>
  </sheetData>
  <dataValidations count="1">
    <dataValidation sqref="B7 B13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2026-10-25T15:54:42Z</dcterms:created>
  <dcterms:modified xsi:type="dcterms:W3CDTF">2026-10-25T15:54:42Z</dcterms:modified>
</cp:coreProperties>
</file>